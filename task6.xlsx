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 task\"/>
    </mc:Choice>
  </mc:AlternateContent>
  <xr:revisionPtr revIDLastSave="0" documentId="13_ncr:1_{DB0D7AEF-63E6-4CD4-98AB-94375362F1FE}" xr6:coauthVersionLast="47" xr6:coauthVersionMax="47" xr10:uidLastSave="{00000000-0000-0000-0000-000000000000}"/>
  <bookViews>
    <workbookView xWindow="-108" yWindow="-108" windowWidth="23256" windowHeight="12456" activeTab="5" xr2:uid="{07D2A694-453B-4071-831B-9B4AA621C24D}"/>
  </bookViews>
  <sheets>
    <sheet name="Sheet2" sheetId="2" r:id="rId1"/>
    <sheet name="Sheet3" sheetId="3" r:id="rId2"/>
    <sheet name="Sheet4" sheetId="5" r:id="rId3"/>
    <sheet name="Sheet5" sheetId="6" r:id="rId4"/>
    <sheet name="Detail1" sheetId="7" r:id="rId5"/>
    <sheet name="Sheet1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7" i="1"/>
  <c r="Q5" i="1"/>
  <c r="Q3" i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</calcChain>
</file>

<file path=xl/sharedStrings.xml><?xml version="1.0" encoding="utf-8"?>
<sst xmlns="http://schemas.openxmlformats.org/spreadsheetml/2006/main" count="113" uniqueCount="62">
  <si>
    <t xml:space="preserve">Employee Id </t>
  </si>
  <si>
    <t>Name</t>
  </si>
  <si>
    <t>Department</t>
  </si>
  <si>
    <t>Joining Date</t>
  </si>
  <si>
    <t>Salary</t>
  </si>
  <si>
    <t>Attendence</t>
  </si>
  <si>
    <t>Sales</t>
  </si>
  <si>
    <t>Rating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</si>
  <si>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</si>
  <si>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</si>
  <si>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</si>
  <si>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</si>
  <si>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</si>
  <si>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</si>
  <si>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</si>
  <si>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</si>
  <si>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</si>
  <si>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</si>
  <si>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Rahul</t>
  </si>
  <si>
    <t>Priya</t>
  </si>
  <si>
    <t>Amit</t>
  </si>
  <si>
    <t>Neha</t>
  </si>
  <si>
    <t>Rohit</t>
  </si>
  <si>
    <t>Pooja</t>
  </si>
  <si>
    <t>Karan</t>
  </si>
  <si>
    <t>Simran</t>
  </si>
  <si>
    <t>Vikas</t>
  </si>
  <si>
    <t>Anjali</t>
  </si>
  <si>
    <t>HR</t>
  </si>
  <si>
    <t>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</si>
  <si>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</si>
  <si>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</si>
  <si>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</si>
  <si>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</si>
  <si>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</si>
  <si>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</si>
  <si>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</si>
  <si>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</si>
  <si>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Annual Salary</t>
  </si>
  <si>
    <t>Column9</t>
  </si>
  <si>
    <t>Column10</t>
  </si>
  <si>
    <t>Highest sal</t>
  </si>
  <si>
    <t>Column11</t>
  </si>
  <si>
    <t>Lowest Salarry</t>
  </si>
  <si>
    <t>Column12</t>
  </si>
  <si>
    <t>Total Salary</t>
  </si>
  <si>
    <t>Column13</t>
  </si>
  <si>
    <t>Total Sales</t>
  </si>
  <si>
    <t>Column14</t>
  </si>
  <si>
    <t>Highest Sales</t>
  </si>
  <si>
    <t>Column15</t>
  </si>
  <si>
    <t>Row Labels</t>
  </si>
  <si>
    <t>Grand Total</t>
  </si>
  <si>
    <t>Count of Column7</t>
  </si>
  <si>
    <t>(All)</t>
  </si>
  <si>
    <t>Column16</t>
  </si>
  <si>
    <t>Details for Count of Column7 - Column3: HR</t>
  </si>
  <si>
    <t>Total_Sales</t>
  </si>
  <si>
    <t>department_wise_sales</t>
  </si>
  <si>
    <t>Values</t>
  </si>
  <si>
    <t>Column17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</si>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</sst>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2" xfId="0" applyFont="1" applyBorder="1"/>
    <xf numFmtId="14" fontId="0" fillId="0" borderId="0" xfId="0" applyNumberFormat="1"/>
    <xf numFmtId="0" fontId="0" fillId="0" borderId="3" xfId="0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3" fillId="3" borderId="6" xfId="0" applyFont="1" applyFill="1" applyBorder="1"/>
    <xf numFmtId="0" fontId="0" fillId="0" borderId="7" xfId="0" applyBorder="1"/>
    <xf numFmtId="14" fontId="0" fillId="0" borderId="3" xfId="0" applyNumberFormat="1" applyBorder="1"/>
    <xf numFmtId="0" fontId="0" fillId="0" borderId="8" xfId="0" applyBorder="1"/>
  </cellXfs>
  <cellStyles count="1">
    <cellStyle name="Normal" xfId="0" builtinId="0"/>
  </cellStyles>
  <dxfs count="23"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19" formatCode="dd/mm/yyyy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dd/mm/yyyy"/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3.83531736111" createdVersion="8" refreshedVersion="8" minRefreshableVersion="3" recordCount="11" xr:uid="{453C0F36-EDE5-4F3C-91BE-D9BD5351255E}">
  <cacheSource type="worksheet">
    <worksheetSource name="Table2"/>
  </cacheSource>
  <cacheFields count="16">
    <cacheField name="Column1" numFmtId="0">
      <sharedItems/>
    </cacheField>
    <cacheField name="Column2" numFmtId="0">
      <sharedItems/>
    </cacheField>
    <cacheField name="Column3" numFmtId="0">
      <sharedItems count="4">
        <s v="Department"/>
        <s v="Sales"/>
        <s v="HR"/>
        <s v="IT"/>
      </sharedItems>
    </cacheField>
    <cacheField name="Column4" numFmtId="14">
      <sharedItems containsDate="1" containsMixedTypes="1" minDate="2022-02-22T00:00:00" maxDate="2024-07-09T00:00:00"/>
    </cacheField>
    <cacheField name="Column5" numFmtId="0">
      <sharedItems containsMixedTypes="1" containsNumber="1" containsInteger="1" minValue="21000" maxValue="32000"/>
    </cacheField>
    <cacheField name="Column6" numFmtId="0">
      <sharedItems containsMixedTypes="1" containsNumber="1" containsInteger="1" minValue="22" maxValue="28"/>
    </cacheField>
    <cacheField name="Column7" numFmtId="0">
      <sharedItems containsMixedTypes="1" containsNumber="1" containsInteger="1" minValue="0" maxValue="95000"/>
    </cacheField>
    <cacheField name="Column8" numFmtId="0">
      <sharedItems containsMixedTypes="1" containsNumber="1" containsInteger="1" minValue="3" maxValue="5"/>
    </cacheField>
    <cacheField name="Column9" numFmtId="0">
      <sharedItems containsMixedTypes="1" containsNumber="1" containsInteger="1" minValue="252000" maxValue="384000"/>
    </cacheField>
    <cacheField name="Column10" numFmtId="0">
      <sharedItems containsMixedTypes="1" containsNumber="1" minValue="78.571428571428569" maxValue="100"/>
    </cacheField>
    <cacheField name="Column11" numFmtId="0">
      <sharedItems containsMixedTypes="1" containsNumber="1" containsInteger="1" minValue="32000" maxValue="32000"/>
    </cacheField>
    <cacheField name="Column12" numFmtId="0">
      <sharedItems containsMixedTypes="1" containsNumber="1" containsInteger="1" minValue="21000" maxValue="21000"/>
    </cacheField>
    <cacheField name="Column13" numFmtId="0">
      <sharedItems containsMixedTypes="1" containsNumber="1" containsInteger="1" minValue="254000" maxValue="254000"/>
    </cacheField>
    <cacheField name="Column14" numFmtId="0">
      <sharedItems containsMixedTypes="1" containsNumber="1" containsInteger="1" minValue="411000" maxValue="411000" count="2">
        <s v="Total Sales"/>
        <n v="411000"/>
      </sharedItems>
    </cacheField>
    <cacheField name="Column15" numFmtId="0">
      <sharedItems containsMixedTypes="1" containsNumber="1" containsInteger="1" minValue="95000" maxValue="95000"/>
    </cacheField>
    <cacheField name="Column16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Employee Id "/>
    <s v="Name"/>
    <x v="0"/>
    <s v="Joining Date"/>
    <s v="Salary"/>
    <s v="Attendence"/>
    <s v="Sales"/>
    <s v="Rating"/>
    <s v="Annual Salary"/>
    <s v="Attendence"/>
    <s v="Highest sal"/>
    <s v="Lowest Salarry"/>
    <s v="Total Salary"/>
    <x v="0"/>
    <s v="Highest Sales"/>
    <s v="Sales department"/>
  </r>
  <r>
    <s v="E001"/>
    <s v="Rahul"/>
    <x v="1"/>
    <d v="2024-01-12T00:00:00"/>
    <n v="22000"/>
    <n v="25"/>
    <n v="85000"/>
    <n v="4"/>
    <n v="264000"/>
    <n v="89.285714285714292"/>
    <n v="32000"/>
    <n v="21000"/>
    <n v="254000"/>
    <x v="1"/>
    <n v="95000"/>
    <m/>
  </r>
  <r>
    <s v="E002"/>
    <s v="Priya"/>
    <x v="2"/>
    <d v="2023-03-05T00:00:00"/>
    <n v="25000"/>
    <n v="27"/>
    <n v="0"/>
    <n v="5"/>
    <n v="300000"/>
    <n v="96.428571428571431"/>
    <n v="32000"/>
    <n v="21000"/>
    <n v="254000"/>
    <x v="1"/>
    <n v="95000"/>
    <m/>
  </r>
  <r>
    <s v="E003"/>
    <s v="Amit"/>
    <x v="1"/>
    <d v="2024-06-18T00:00:00"/>
    <n v="21000"/>
    <n v="23"/>
    <n v="72000"/>
    <n v="3"/>
    <n v="252000"/>
    <n v="82.142857142857139"/>
    <n v="32000"/>
    <n v="21000"/>
    <n v="254000"/>
    <x v="1"/>
    <n v="95000"/>
    <m/>
  </r>
  <r>
    <s v="E004"/>
    <s v="Neha"/>
    <x v="3"/>
    <d v="2022-02-22T00:00:00"/>
    <n v="32000"/>
    <n v="28"/>
    <n v="0"/>
    <n v="4"/>
    <n v="384000"/>
    <n v="100"/>
    <n v="32000"/>
    <n v="21000"/>
    <n v="254000"/>
    <x v="1"/>
    <n v="95000"/>
    <m/>
  </r>
  <r>
    <s v="E005"/>
    <s v="Rohit"/>
    <x v="1"/>
    <d v="2023-02-10T00:00:00"/>
    <n v="24000"/>
    <n v="26"/>
    <n v="91000"/>
    <n v="5"/>
    <n v="288000"/>
    <n v="92.857142857142861"/>
    <n v="32000"/>
    <n v="21000"/>
    <n v="254000"/>
    <x v="1"/>
    <n v="95000"/>
    <m/>
  </r>
  <r>
    <s v="E006"/>
    <s v="Pooja"/>
    <x v="2"/>
    <d v="2023-11-15T00:00:00"/>
    <n v="26000"/>
    <n v="24"/>
    <n v="0"/>
    <n v="4"/>
    <n v="312000"/>
    <n v="85.714285714285708"/>
    <n v="32000"/>
    <n v="21000"/>
    <n v="254000"/>
    <x v="1"/>
    <n v="95000"/>
    <m/>
  </r>
  <r>
    <s v="E007"/>
    <s v="Karan"/>
    <x v="3"/>
    <d v="2024-01-03T00:00:00"/>
    <n v="30000"/>
    <n v="27"/>
    <n v="0"/>
    <n v="3"/>
    <n v="360000"/>
    <n v="96.428571428571431"/>
    <n v="32000"/>
    <n v="21000"/>
    <n v="254000"/>
    <x v="1"/>
    <n v="95000"/>
    <m/>
  </r>
  <r>
    <s v="E008"/>
    <s v="Simran"/>
    <x v="1"/>
    <d v="2022-09-20T00:00:00"/>
    <n v="23000"/>
    <n v="22"/>
    <n v="68000"/>
    <n v="4"/>
    <n v="276000"/>
    <n v="78.571428571428569"/>
    <n v="32000"/>
    <n v="21000"/>
    <n v="254000"/>
    <x v="1"/>
    <n v="95000"/>
    <m/>
  </r>
  <r>
    <s v="E009"/>
    <s v="Vikas"/>
    <x v="1"/>
    <d v="2023-04-14T00:00:00"/>
    <n v="27000"/>
    <n v="26"/>
    <n v="95000"/>
    <n v="5"/>
    <n v="324000"/>
    <n v="92.857142857142861"/>
    <n v="32000"/>
    <n v="21000"/>
    <n v="254000"/>
    <x v="1"/>
    <n v="95000"/>
    <m/>
  </r>
  <r>
    <s v="E010"/>
    <s v="Anjali"/>
    <x v="2"/>
    <d v="2024-07-08T00:00:00"/>
    <n v="24000"/>
    <n v="25"/>
    <n v="0"/>
    <n v="3"/>
    <n v="288000"/>
    <n v="89.285714285714292"/>
    <n v="32000"/>
    <n v="21000"/>
    <n v="254000"/>
    <x v="1"/>
    <n v="95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9FBA9-FC71-457B-B69A-2AF9FC5A8F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6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3" hier="-1"/>
  </pageFields>
  <dataFields count="1">
    <dataField name="Count of Column7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C098E-0C21-4CAF-A296-2C1BED8D9A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2">
    <field x="2"/>
    <field x="13"/>
  </rowFields>
  <rowItems count="9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 t="grand">
      <x/>
    </i>
  </rowItems>
  <colItems count="1">
    <i/>
  </colItems>
  <dataFields count="1">
    <dataField name="Count of Column7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4DC3D-1C76-475A-B025-C40AE2751254}" name="Table1" displayName="Table1" ref="A3:P6" totalsRowShown="0">
  <autoFilter ref="A3:P6" xr:uid="{7704DC3D-1C76-475A-B025-C40AE2751254}"/>
  <tableColumns count="16">
    <tableColumn id="1" xr3:uid="{D0AA7C36-BDA3-4FC6-8B6A-6FAB92A64B1D}" name="Column1"/>
    <tableColumn id="2" xr3:uid="{383E9EC4-9364-4B59-B10E-C218A0D314EF}" name="Column2"/>
    <tableColumn id="3" xr3:uid="{A86159D6-C903-4E90-868F-3A8EB96A3028}" name="Column3"/>
    <tableColumn id="4" xr3:uid="{B94FF62B-8861-42C8-9CDA-EA7B5B99938E}" name="Column4" dataDxfId="18"/>
    <tableColumn id="5" xr3:uid="{2C8F5BC0-347C-4FBC-85F6-90519601A67E}" name="Column5"/>
    <tableColumn id="6" xr3:uid="{14CC0C92-764E-439D-8E15-E4DD67D71A5F}" name="Column6"/>
    <tableColumn id="7" xr3:uid="{CE327793-FCB5-484A-8A1A-9B910141BD4D}" name="Column7"/>
    <tableColumn id="8" xr3:uid="{EBE78590-0F1F-43F7-93A9-8782A8A2E55F}" name="Column8"/>
    <tableColumn id="9" xr3:uid="{4517015D-16A4-4629-9C4F-0E8BACB34AD3}" name="Column9"/>
    <tableColumn id="10" xr3:uid="{933B164F-9478-4D3C-B2D7-796EA4EA1CA0}" name="Column10"/>
    <tableColumn id="11" xr3:uid="{BA691C28-C18C-4875-8152-C05349F5CE19}" name="Column11"/>
    <tableColumn id="12" xr3:uid="{3E527F03-5C1B-407F-AB31-F68B5E39E118}" name="Column12"/>
    <tableColumn id="13" xr3:uid="{6E001A32-ECAF-47EF-9DDD-1A50D3CF1942}" name="Column13"/>
    <tableColumn id="14" xr3:uid="{42562C11-745D-4DFC-9E29-3B4BEB4AB458}" name="Column14"/>
    <tableColumn id="15" xr3:uid="{1C4AFC15-3711-4677-A0C5-08F5C5BA2887}" name="Column15"/>
    <tableColumn id="16" xr3:uid="{E952600E-FD4B-47BB-B994-36DC741DDADE}" name="Column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9D29D9-F565-49A2-A305-1C73398B61D5}" name="Table2" displayName="Table2" ref="A1:Q12" totalsRowShown="0" tableBorderDxfId="17">
  <autoFilter ref="A1:Q12" xr:uid="{0D9D29D9-F565-49A2-A305-1C73398B61D5}"/>
  <tableColumns count="17">
    <tableColumn id="1" xr3:uid="{53E3324C-F33C-4AA6-B5AE-0322874CAF84}" name="Column1" dataDxfId="16"/>
    <tableColumn id="2" xr3:uid="{B24589C3-2AB0-4EA7-A993-04A833E6B778}" name="Column2" dataDxfId="15"/>
    <tableColumn id="3" xr3:uid="{2F5EAC85-6DF8-4635-980A-3C5B3DDDC739}" name="Column3" dataDxfId="14"/>
    <tableColumn id="4" xr3:uid="{7500FBFB-41B3-4F0A-B770-A038E66A3995}" name="Column4" dataDxfId="13"/>
    <tableColumn id="5" xr3:uid="{AAF33005-0941-4C76-B814-2F6694FA1323}" name="Column5" dataDxfId="12"/>
    <tableColumn id="6" xr3:uid="{BC008AF1-2D44-4827-BBFD-5C93EC71869E}" name="Column6" dataDxfId="11"/>
    <tableColumn id="7" xr3:uid="{8663A8D9-93C3-4E86-84FE-FD5622021167}" name="Column7" dataDxfId="10"/>
    <tableColumn id="8" xr3:uid="{7EFEA9C1-BA0C-44EB-BABE-5356F6B78F47}" name="Column8" dataDxfId="9"/>
    <tableColumn id="9" xr3:uid="{AD7D036C-B31A-404D-AFF8-64CB79EBA950}" name="Column9" dataDxfId="8"/>
    <tableColumn id="10" xr3:uid="{EA9736FD-5019-4F96-91D6-01E80DDD6351}" name="Column10" dataDxfId="7"/>
    <tableColumn id="11" xr3:uid="{995D6B7C-277E-47BB-8276-C46580F176DA}" name="Column11" dataDxfId="6"/>
    <tableColumn id="12" xr3:uid="{E9C16BDF-B510-47D9-8175-605F663AFCD6}" name="Column12" dataDxfId="5"/>
    <tableColumn id="13" xr3:uid="{DDD7631E-533A-488D-A132-B1C0B82D3C5F}" name="Column13" dataDxfId="4"/>
    <tableColumn id="14" xr3:uid="{1A3E6E63-3442-4494-8C5E-F1B57F6BA4DE}" name="Column14" dataDxfId="3"/>
    <tableColumn id="15" xr3:uid="{031D61E0-47A7-408D-9324-7BCF1D07B425}" name="Column15" dataDxfId="2"/>
    <tableColumn id="16" xr3:uid="{13E666F4-E436-4E03-81BD-D5F82089A8B0}" name="Column16" dataDxfId="1"/>
    <tableColumn id="17" xr3:uid="{4AB8DAF0-30B5-4F2A-93D8-C1B9B15964C4}" name="Column17" dataDxfId="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EA3AB-29B8-4A20-95D8-7F07816871DF}" name="Table6" displayName="Table6" ref="Q19:Q20" insertRow="1" totalsRowShown="0">
  <autoFilter ref="Q19:Q20" xr:uid="{D66EA3AB-29B8-4A20-95D8-7F07816871DF}"/>
  <tableColumns count="1">
    <tableColumn id="1" xr3:uid="{3DA56745-93BE-47C8-8891-A02F1272F7B8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C6BFC7-40A4-4A32-8C8F-ED860386EFEC}" name="Table7" displayName="Table7" ref="V30:V31" insertRow="1" totalsRowShown="0">
  <autoFilter ref="V30:V31" xr:uid="{55C6BFC7-40A4-4A32-8C8F-ED860386EFEC}"/>
  <tableColumns count="1">
    <tableColumn id="1" xr3:uid="{726B9361-0BA3-45D3-96F4-14FB0A84516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15BD-0019-4A5B-876B-0CE589BC0F24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1D3A-22EA-4433-A78D-5DB7AC8079A7}">
  <dimension ref="A1"/>
  <sheetViews>
    <sheetView workbookViewId="0">
      <selection activeCell="A3" sqref="A3:B8"/>
    </sheetView>
  </sheetViews>
  <sheetFormatPr defaultRowHeight="14.4" x14ac:dyDescent="0.3"/>
  <cols>
    <col min="1" max="1" width="12.44140625" bestFit="1" customWidth="1"/>
    <col min="2" max="2" width="15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3F4E-2810-4045-AAB4-18F2F2112FB2}">
  <dimension ref="A1:B8"/>
  <sheetViews>
    <sheetView workbookViewId="0">
      <selection activeCell="M25" sqref="M25"/>
    </sheetView>
  </sheetViews>
  <sheetFormatPr defaultRowHeight="14.4" x14ac:dyDescent="0.3"/>
  <cols>
    <col min="1" max="1" width="12.44140625" bestFit="1" customWidth="1"/>
    <col min="2" max="2" width="15.6640625" bestFit="1" customWidth="1"/>
    <col min="3" max="3" width="10" bestFit="1" customWidth="1"/>
    <col min="4" max="4" width="10.5546875" bestFit="1" customWidth="1"/>
  </cols>
  <sheetData>
    <row r="1" spans="1:2" x14ac:dyDescent="0.3">
      <c r="A1" s="6" t="s">
        <v>48</v>
      </c>
      <c r="B1" t="s">
        <v>54</v>
      </c>
    </row>
    <row r="3" spans="1:2" x14ac:dyDescent="0.3">
      <c r="A3" s="6" t="s">
        <v>51</v>
      </c>
      <c r="B3" t="s">
        <v>53</v>
      </c>
    </row>
    <row r="4" spans="1:2" x14ac:dyDescent="0.3">
      <c r="A4" s="7" t="s">
        <v>2</v>
      </c>
      <c r="B4">
        <v>1</v>
      </c>
    </row>
    <row r="5" spans="1:2" x14ac:dyDescent="0.3">
      <c r="A5" s="7" t="s">
        <v>28</v>
      </c>
      <c r="B5">
        <v>3</v>
      </c>
    </row>
    <row r="6" spans="1:2" x14ac:dyDescent="0.3">
      <c r="A6" s="7" t="s">
        <v>29</v>
      </c>
      <c r="B6">
        <v>2</v>
      </c>
    </row>
    <row r="7" spans="1:2" x14ac:dyDescent="0.3">
      <c r="A7" s="7" t="s">
        <v>6</v>
      </c>
      <c r="B7">
        <v>5</v>
      </c>
    </row>
    <row r="8" spans="1:2" x14ac:dyDescent="0.3">
      <c r="A8" s="7" t="s">
        <v>52</v>
      </c>
      <c r="B8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11BC-0073-49D4-8F87-752A89D754CE}">
  <dimension ref="A3:B12"/>
  <sheetViews>
    <sheetView workbookViewId="0">
      <selection activeCell="A3" sqref="A3:B1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10" bestFit="1" customWidth="1"/>
    <col min="4" max="4" width="10.5546875" bestFit="1" customWidth="1"/>
  </cols>
  <sheetData>
    <row r="3" spans="1:2" x14ac:dyDescent="0.3">
      <c r="A3" s="6" t="s">
        <v>51</v>
      </c>
      <c r="B3" t="s">
        <v>53</v>
      </c>
    </row>
    <row r="4" spans="1:2" x14ac:dyDescent="0.3">
      <c r="A4" s="7" t="s">
        <v>2</v>
      </c>
      <c r="B4">
        <v>1</v>
      </c>
    </row>
    <row r="5" spans="1:2" x14ac:dyDescent="0.3">
      <c r="A5" s="8" t="s">
        <v>47</v>
      </c>
      <c r="B5">
        <v>1</v>
      </c>
    </row>
    <row r="6" spans="1:2" x14ac:dyDescent="0.3">
      <c r="A6" s="7" t="s">
        <v>28</v>
      </c>
      <c r="B6">
        <v>3</v>
      </c>
    </row>
    <row r="7" spans="1:2" x14ac:dyDescent="0.3">
      <c r="A7" s="8">
        <v>411000</v>
      </c>
      <c r="B7">
        <v>3</v>
      </c>
    </row>
    <row r="8" spans="1:2" x14ac:dyDescent="0.3">
      <c r="A8" s="7" t="s">
        <v>29</v>
      </c>
      <c r="B8">
        <v>2</v>
      </c>
    </row>
    <row r="9" spans="1:2" x14ac:dyDescent="0.3">
      <c r="A9" s="8">
        <v>411000</v>
      </c>
      <c r="B9">
        <v>2</v>
      </c>
    </row>
    <row r="10" spans="1:2" x14ac:dyDescent="0.3">
      <c r="A10" s="7" t="s">
        <v>6</v>
      </c>
      <c r="B10">
        <v>5</v>
      </c>
    </row>
    <row r="11" spans="1:2" x14ac:dyDescent="0.3">
      <c r="A11" s="8">
        <v>411000</v>
      </c>
      <c r="B11">
        <v>5</v>
      </c>
    </row>
    <row r="12" spans="1:2" x14ac:dyDescent="0.3">
      <c r="A12" s="7" t="s">
        <v>52</v>
      </c>
      <c r="B12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3CEB-BF75-4AD7-AFED-B7340DBD5DC4}">
  <dimension ref="A1:P6"/>
  <sheetViews>
    <sheetView workbookViewId="0">
      <selection activeCell="A3" sqref="A3:P6"/>
    </sheetView>
  </sheetViews>
  <sheetFormatPr defaultRowHeight="14.4" x14ac:dyDescent="0.3"/>
  <cols>
    <col min="1" max="9" width="10.6640625" bestFit="1" customWidth="1"/>
    <col min="10" max="16" width="11.6640625" bestFit="1" customWidth="1"/>
  </cols>
  <sheetData>
    <row r="1" spans="1:16" x14ac:dyDescent="0.3">
      <c r="A1" s="1" t="s">
        <v>56</v>
      </c>
    </row>
    <row r="3" spans="1:16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39</v>
      </c>
      <c r="J3" t="s">
        <v>40</v>
      </c>
      <c r="K3" t="s">
        <v>42</v>
      </c>
      <c r="L3" t="s">
        <v>44</v>
      </c>
      <c r="M3" t="s">
        <v>46</v>
      </c>
      <c r="N3" t="s">
        <v>48</v>
      </c>
      <c r="O3" t="s">
        <v>50</v>
      </c>
      <c r="P3" t="s">
        <v>55</v>
      </c>
    </row>
    <row r="4" spans="1:16" x14ac:dyDescent="0.3">
      <c r="A4" t="s">
        <v>17</v>
      </c>
      <c r="B4" t="s">
        <v>27</v>
      </c>
      <c r="C4" t="s">
        <v>28</v>
      </c>
      <c r="D4" s="10">
        <v>45481</v>
      </c>
      <c r="E4">
        <v>24000</v>
      </c>
      <c r="F4">
        <v>25</v>
      </c>
      <c r="G4">
        <v>0</v>
      </c>
      <c r="H4">
        <v>3</v>
      </c>
      <c r="I4">
        <v>288000</v>
      </c>
      <c r="J4">
        <v>89.285714285714292</v>
      </c>
      <c r="K4">
        <v>32000</v>
      </c>
      <c r="L4">
        <v>21000</v>
      </c>
      <c r="M4">
        <v>254000</v>
      </c>
      <c r="N4">
        <v>411000</v>
      </c>
      <c r="O4">
        <v>95000</v>
      </c>
    </row>
    <row r="5" spans="1:16" x14ac:dyDescent="0.3">
      <c r="A5" t="s">
        <v>13</v>
      </c>
      <c r="B5" t="s">
        <v>23</v>
      </c>
      <c r="C5" t="s">
        <v>28</v>
      </c>
      <c r="D5" s="10">
        <v>45245</v>
      </c>
      <c r="E5">
        <v>26000</v>
      </c>
      <c r="F5">
        <v>24</v>
      </c>
      <c r="G5">
        <v>0</v>
      </c>
      <c r="H5">
        <v>4</v>
      </c>
      <c r="I5">
        <v>312000</v>
      </c>
      <c r="J5">
        <v>85.714285714285708</v>
      </c>
      <c r="K5">
        <v>32000</v>
      </c>
      <c r="L5">
        <v>21000</v>
      </c>
      <c r="M5">
        <v>254000</v>
      </c>
      <c r="N5">
        <v>411000</v>
      </c>
      <c r="O5">
        <v>95000</v>
      </c>
    </row>
    <row r="6" spans="1:16" x14ac:dyDescent="0.3">
      <c r="A6" t="s">
        <v>9</v>
      </c>
      <c r="B6" t="s">
        <v>19</v>
      </c>
      <c r="C6" t="s">
        <v>28</v>
      </c>
      <c r="D6" s="10">
        <v>44990</v>
      </c>
      <c r="E6">
        <v>25000</v>
      </c>
      <c r="F6">
        <v>27</v>
      </c>
      <c r="G6">
        <v>0</v>
      </c>
      <c r="H6">
        <v>5</v>
      </c>
      <c r="I6">
        <v>300000</v>
      </c>
      <c r="J6">
        <v>96.428571428571431</v>
      </c>
      <c r="K6">
        <v>32000</v>
      </c>
      <c r="L6">
        <v>21000</v>
      </c>
      <c r="M6">
        <v>254000</v>
      </c>
      <c r="N6">
        <v>411000</v>
      </c>
      <c r="O6">
        <v>95000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6A31-0A35-4453-9DED-8F7D66BDC119}">
  <dimension ref="A1:V30"/>
  <sheetViews>
    <sheetView tabSelected="1" topLeftCell="A2" zoomScale="84" workbookViewId="0">
      <selection activeCell="P18" sqref="P18"/>
    </sheetView>
  </sheetViews>
  <sheetFormatPr defaultRowHeight="14.4" x14ac:dyDescent="0.3"/>
  <cols>
    <col min="1" max="1" width="10.88671875" bestFit="1" customWidth="1"/>
    <col min="2" max="2" width="10.33203125" customWidth="1"/>
    <col min="3" max="3" width="10.5546875" bestFit="1" customWidth="1"/>
    <col min="4" max="4" width="11.77734375" bestFit="1" customWidth="1"/>
    <col min="5" max="8" width="10.33203125" customWidth="1"/>
    <col min="9" max="9" width="11.88671875" bestFit="1" customWidth="1"/>
    <col min="10" max="11" width="11.77734375" bestFit="1" customWidth="1"/>
    <col min="12" max="12" width="12.6640625" bestFit="1" customWidth="1"/>
    <col min="13" max="13" width="10.21875" bestFit="1" customWidth="1"/>
    <col min="14" max="14" width="9" bestFit="1" customWidth="1"/>
    <col min="15" max="15" width="11.88671875" bestFit="1" customWidth="1"/>
    <col min="16" max="16" width="21.5546875" customWidth="1"/>
    <col min="17" max="17" width="12.33203125" customWidth="1"/>
    <col min="19" max="19" width="10.21875" bestFit="1" customWidth="1"/>
    <col min="20" max="20" width="9" bestFit="1" customWidth="1"/>
    <col min="22" max="22" width="11" customWidth="1"/>
  </cols>
  <sheetData>
    <row r="1" spans="1:20" ht="15" hidden="1" thickBot="1" x14ac:dyDescent="0.3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4" t="s">
        <v>39</v>
      </c>
      <c r="J1" s="14" t="s">
        <v>40</v>
      </c>
      <c r="K1" s="14" t="s">
        <v>42</v>
      </c>
      <c r="L1" s="14" t="s">
        <v>44</v>
      </c>
      <c r="M1" s="14" t="s">
        <v>46</v>
      </c>
      <c r="N1" s="14" t="s">
        <v>48</v>
      </c>
      <c r="O1" s="14" t="s">
        <v>50</v>
      </c>
      <c r="P1" s="14" t="s">
        <v>55</v>
      </c>
      <c r="Q1" s="14" t="s">
        <v>60</v>
      </c>
      <c r="R1" s="1"/>
      <c r="S1" s="1"/>
      <c r="T1" s="1"/>
    </row>
    <row r="2" spans="1:20" ht="15" thickBot="1" x14ac:dyDescent="0.35">
      <c r="A2" s="15" t="s">
        <v>0</v>
      </c>
      <c r="B2" s="3" t="s">
        <v>1</v>
      </c>
      <c r="C2" s="3" t="s">
        <v>2</v>
      </c>
      <c r="D2" s="5" t="s">
        <v>3</v>
      </c>
      <c r="E2" s="3" t="s">
        <v>4</v>
      </c>
      <c r="F2" s="3" t="s">
        <v>5</v>
      </c>
      <c r="G2" s="3" t="s">
        <v>57</v>
      </c>
      <c r="H2" s="3" t="s">
        <v>7</v>
      </c>
      <c r="I2" s="9" t="s">
        <v>38</v>
      </c>
      <c r="J2" s="9" t="s">
        <v>5</v>
      </c>
      <c r="K2" s="9" t="s">
        <v>41</v>
      </c>
      <c r="L2" s="9" t="s">
        <v>43</v>
      </c>
      <c r="M2" s="9" t="s">
        <v>45</v>
      </c>
      <c r="N2" s="9" t="s">
        <v>47</v>
      </c>
      <c r="O2" s="9" t="s">
        <v>49</v>
      </c>
      <c r="P2" s="9" t="s">
        <v>58</v>
      </c>
      <c r="Q2" s="16" t="s">
        <v>59</v>
      </c>
      <c r="R2" s="1"/>
    </row>
    <row r="3" spans="1:20" ht="15" thickBot="1" x14ac:dyDescent="0.35">
      <c r="A3" s="17" t="s">
        <v>8</v>
      </c>
      <c r="B3" s="2" t="s">
        <v>18</v>
      </c>
      <c r="C3" s="2" t="s">
        <v>6</v>
      </c>
      <c r="D3" s="4">
        <v>45303</v>
      </c>
      <c r="E3" s="2">
        <v>22000</v>
      </c>
      <c r="F3" s="2">
        <v>25</v>
      </c>
      <c r="G3" s="2">
        <v>85000</v>
      </c>
      <c r="H3" s="2">
        <v>4</v>
      </c>
      <c r="I3" s="2">
        <f>Table2[[#This Row],[Column5]]*12</f>
        <v>264000</v>
      </c>
      <c r="J3" s="2">
        <f>Table2[[#This Row],[Column6]]/28*100</f>
        <v>89.285714285714292</v>
      </c>
      <c r="K3" s="2">
        <f>MAX(Table2[Column5])</f>
        <v>32000</v>
      </c>
      <c r="L3" s="2">
        <f>MIN(Table2[Column5])</f>
        <v>21000</v>
      </c>
      <c r="M3" s="2">
        <f>SUM(Table2[Column5])</f>
        <v>254000</v>
      </c>
      <c r="N3" s="2">
        <f>SUM(Table2[Column7])</f>
        <v>411000</v>
      </c>
      <c r="O3" s="2">
        <f>MAX(Table2[Column7])</f>
        <v>95000</v>
      </c>
      <c r="P3" s="2" t="s">
        <v>6</v>
      </c>
      <c r="Q3" s="18">
        <f>SUMIF(C3:C12,"Sales",G3:G12)</f>
        <v>411000</v>
      </c>
    </row>
    <row r="4" spans="1:20" ht="15" thickBot="1" x14ac:dyDescent="0.35">
      <c r="A4" s="17" t="s">
        <v>9</v>
      </c>
      <c r="B4" s="2" t="s">
        <v>19</v>
      </c>
      <c r="C4" s="2" t="s">
        <v>28</v>
      </c>
      <c r="D4" s="4">
        <v>44990</v>
      </c>
      <c r="E4" s="2">
        <v>25000</v>
      </c>
      <c r="F4" s="2">
        <v>27</v>
      </c>
      <c r="G4" s="2">
        <v>0</v>
      </c>
      <c r="H4" s="2">
        <v>5</v>
      </c>
      <c r="I4" s="2">
        <f>Table2[[#This Row],[Column5]]*12</f>
        <v>300000</v>
      </c>
      <c r="J4" s="2">
        <f>Table2[[#This Row],[Column6]]/28*100</f>
        <v>96.428571428571431</v>
      </c>
      <c r="K4" s="2">
        <f>MAX(Table2[Column5])</f>
        <v>32000</v>
      </c>
      <c r="L4" s="2">
        <f>MIN(Table2[Column5])</f>
        <v>21000</v>
      </c>
      <c r="M4" s="2">
        <f>SUM(Table2[Column5])</f>
        <v>254000</v>
      </c>
      <c r="N4" s="2">
        <f>SUM(Table2[Column7])</f>
        <v>411000</v>
      </c>
      <c r="O4" s="2">
        <f>MAX(Table2[Column7])</f>
        <v>95000</v>
      </c>
      <c r="P4" s="2"/>
      <c r="Q4" s="18"/>
    </row>
    <row r="5" spans="1:20" ht="15" thickBot="1" x14ac:dyDescent="0.35">
      <c r="A5" s="17" t="s">
        <v>10</v>
      </c>
      <c r="B5" s="2" t="s">
        <v>20</v>
      </c>
      <c r="C5" s="2" t="s">
        <v>6</v>
      </c>
      <c r="D5" s="4">
        <v>45461</v>
      </c>
      <c r="E5" s="2">
        <v>21000</v>
      </c>
      <c r="F5" s="2">
        <v>23</v>
      </c>
      <c r="G5" s="2">
        <v>72000</v>
      </c>
      <c r="H5" s="2">
        <v>3</v>
      </c>
      <c r="I5" s="2">
        <f>Table2[[#This Row],[Column5]]*12</f>
        <v>252000</v>
      </c>
      <c r="J5" s="2">
        <f>Table2[[#This Row],[Column6]]/28*100</f>
        <v>82.142857142857139</v>
      </c>
      <c r="K5" s="2">
        <f>MAX(Table2[Column5])</f>
        <v>32000</v>
      </c>
      <c r="L5" s="2">
        <f>MIN(Table2[Column5])</f>
        <v>21000</v>
      </c>
      <c r="M5" s="2">
        <f>SUM(Table2[Column5])</f>
        <v>254000</v>
      </c>
      <c r="N5" s="2">
        <f>SUM(Table2[Column7])</f>
        <v>411000</v>
      </c>
      <c r="O5" s="2">
        <f>MAX(Table2[Column7])</f>
        <v>95000</v>
      </c>
      <c r="P5" s="2" t="s">
        <v>28</v>
      </c>
      <c r="Q5" s="18">
        <f>SUMIF(C3:C12,"HR",G3:G12)</f>
        <v>0</v>
      </c>
    </row>
    <row r="6" spans="1:20" ht="15" thickBot="1" x14ac:dyDescent="0.35">
      <c r="A6" s="17" t="s">
        <v>11</v>
      </c>
      <c r="B6" s="2" t="s">
        <v>21</v>
      </c>
      <c r="C6" s="2" t="s">
        <v>29</v>
      </c>
      <c r="D6" s="4">
        <v>44614</v>
      </c>
      <c r="E6" s="2">
        <v>32000</v>
      </c>
      <c r="F6" s="2">
        <v>28</v>
      </c>
      <c r="G6" s="2">
        <v>0</v>
      </c>
      <c r="H6" s="2">
        <v>4</v>
      </c>
      <c r="I6" s="2">
        <f>Table2[[#This Row],[Column5]]*12</f>
        <v>384000</v>
      </c>
      <c r="J6" s="2">
        <f>Table2[[#This Row],[Column6]]/28*100</f>
        <v>100</v>
      </c>
      <c r="K6" s="2">
        <f>MAX(Table2[Column5])</f>
        <v>32000</v>
      </c>
      <c r="L6" s="2">
        <f>MIN(Table2[Column5])</f>
        <v>21000</v>
      </c>
      <c r="M6" s="2">
        <f>SUM(Table2[Column5])</f>
        <v>254000</v>
      </c>
      <c r="N6" s="2">
        <f>SUM(Table2[Column7])</f>
        <v>411000</v>
      </c>
      <c r="O6" s="2">
        <f>MAX(Table2[Column7])</f>
        <v>95000</v>
      </c>
      <c r="P6" s="2"/>
      <c r="Q6" s="18"/>
    </row>
    <row r="7" spans="1:20" ht="15" thickBot="1" x14ac:dyDescent="0.35">
      <c r="A7" s="17" t="s">
        <v>12</v>
      </c>
      <c r="B7" s="2" t="s">
        <v>22</v>
      </c>
      <c r="C7" s="2" t="s">
        <v>6</v>
      </c>
      <c r="D7" s="4">
        <v>44967</v>
      </c>
      <c r="E7" s="2">
        <v>24000</v>
      </c>
      <c r="F7" s="2">
        <v>26</v>
      </c>
      <c r="G7" s="2">
        <v>91000</v>
      </c>
      <c r="H7" s="2">
        <v>5</v>
      </c>
      <c r="I7" s="2">
        <f>Table2[[#This Row],[Column5]]*12</f>
        <v>288000</v>
      </c>
      <c r="J7" s="2">
        <f>Table2[[#This Row],[Column6]]/28*100</f>
        <v>92.857142857142861</v>
      </c>
      <c r="K7" s="2">
        <f>MAX(Table2[Column5])</f>
        <v>32000</v>
      </c>
      <c r="L7" s="2">
        <f>MIN(Table2[Column5])</f>
        <v>21000</v>
      </c>
      <c r="M7" s="2">
        <f>SUM(Table2[Column5])</f>
        <v>254000</v>
      </c>
      <c r="N7" s="2">
        <f>SUM(Table2[Column7])</f>
        <v>411000</v>
      </c>
      <c r="O7" s="2">
        <f>MAX(Table2[Column7])</f>
        <v>95000</v>
      </c>
      <c r="P7" s="2" t="s">
        <v>29</v>
      </c>
      <c r="Q7" s="18">
        <f>SUMIF(C3:C12,"IT",G3:G12)</f>
        <v>0</v>
      </c>
    </row>
    <row r="8" spans="1:20" ht="15" thickBot="1" x14ac:dyDescent="0.35">
      <c r="A8" s="17" t="s">
        <v>13</v>
      </c>
      <c r="B8" s="2" t="s">
        <v>23</v>
      </c>
      <c r="C8" s="2" t="s">
        <v>28</v>
      </c>
      <c r="D8" s="4">
        <v>45245</v>
      </c>
      <c r="E8" s="2">
        <v>26000</v>
      </c>
      <c r="F8" s="2">
        <v>24</v>
      </c>
      <c r="G8" s="2">
        <v>0</v>
      </c>
      <c r="H8" s="2">
        <v>4</v>
      </c>
      <c r="I8" s="2">
        <f>Table2[[#This Row],[Column5]]*12</f>
        <v>312000</v>
      </c>
      <c r="J8" s="2">
        <f>Table2[[#This Row],[Column6]]/28*100</f>
        <v>85.714285714285708</v>
      </c>
      <c r="K8" s="2">
        <f>MAX(Table2[Column5])</f>
        <v>32000</v>
      </c>
      <c r="L8" s="2">
        <f>MIN(Table2[Column5])</f>
        <v>21000</v>
      </c>
      <c r="M8" s="2">
        <f>SUM(Table2[Column5])</f>
        <v>254000</v>
      </c>
      <c r="N8" s="2">
        <f>SUM(Table2[Column7])</f>
        <v>411000</v>
      </c>
      <c r="O8" s="2">
        <f>MAX(Table2[Column7])</f>
        <v>95000</v>
      </c>
      <c r="P8" s="2"/>
      <c r="Q8" s="18"/>
    </row>
    <row r="9" spans="1:20" ht="15" thickBot="1" x14ac:dyDescent="0.35">
      <c r="A9" s="17" t="s">
        <v>14</v>
      </c>
      <c r="B9" s="2" t="s">
        <v>24</v>
      </c>
      <c r="C9" s="2" t="s">
        <v>29</v>
      </c>
      <c r="D9" s="4">
        <v>45294</v>
      </c>
      <c r="E9" s="2">
        <v>30000</v>
      </c>
      <c r="F9" s="2">
        <v>27</v>
      </c>
      <c r="G9" s="2">
        <v>0</v>
      </c>
      <c r="H9" s="2">
        <v>3</v>
      </c>
      <c r="I9" s="2">
        <f>Table2[[#This Row],[Column5]]*12</f>
        <v>360000</v>
      </c>
      <c r="J9" s="2">
        <f>Table2[[#This Row],[Column6]]/28*100</f>
        <v>96.428571428571431</v>
      </c>
      <c r="K9" s="2">
        <f>MAX(Table2[Column5])</f>
        <v>32000</v>
      </c>
      <c r="L9" s="2">
        <f>MIN(Table2[Column5])</f>
        <v>21000</v>
      </c>
      <c r="M9" s="2">
        <f>SUM(Table2[Column5])</f>
        <v>254000</v>
      </c>
      <c r="N9" s="2">
        <f>SUM(Table2[Column7])</f>
        <v>411000</v>
      </c>
      <c r="O9" s="2">
        <f>MAX(Table2[Column7])</f>
        <v>95000</v>
      </c>
      <c r="P9" s="12" t="s">
        <v>61</v>
      </c>
      <c r="Q9" s="19">
        <f>SUM(Q3:Q7)</f>
        <v>411000</v>
      </c>
    </row>
    <row r="10" spans="1:20" ht="15" thickBot="1" x14ac:dyDescent="0.35">
      <c r="A10" s="17" t="s">
        <v>15</v>
      </c>
      <c r="B10" s="2" t="s">
        <v>25</v>
      </c>
      <c r="C10" s="2" t="s">
        <v>6</v>
      </c>
      <c r="D10" s="4">
        <v>44824</v>
      </c>
      <c r="E10" s="2">
        <v>23000</v>
      </c>
      <c r="F10" s="2">
        <v>22</v>
      </c>
      <c r="G10" s="2">
        <v>68000</v>
      </c>
      <c r="H10" s="2">
        <v>4</v>
      </c>
      <c r="I10" s="2">
        <f>Table2[[#This Row],[Column5]]*12</f>
        <v>276000</v>
      </c>
      <c r="J10" s="2">
        <f>Table2[[#This Row],[Column6]]/28*100</f>
        <v>78.571428571428569</v>
      </c>
      <c r="K10" s="2">
        <f>MAX(Table2[Column5])</f>
        <v>32000</v>
      </c>
      <c r="L10" s="2">
        <f>MIN(Table2[Column5])</f>
        <v>21000</v>
      </c>
      <c r="M10" s="2">
        <f>SUM(Table2[Column5])</f>
        <v>254000</v>
      </c>
      <c r="N10" s="2">
        <f>SUM(Table2[Column7])</f>
        <v>411000</v>
      </c>
      <c r="O10" s="2">
        <f>MAX(Table2[Column7])</f>
        <v>95000</v>
      </c>
      <c r="P10" s="2"/>
      <c r="Q10" s="18"/>
    </row>
    <row r="11" spans="1:20" ht="15" thickBot="1" x14ac:dyDescent="0.35">
      <c r="A11" s="17" t="s">
        <v>16</v>
      </c>
      <c r="B11" s="2" t="s">
        <v>26</v>
      </c>
      <c r="C11" s="2" t="s">
        <v>6</v>
      </c>
      <c r="D11" s="4">
        <v>45030</v>
      </c>
      <c r="E11" s="2">
        <v>27000</v>
      </c>
      <c r="F11" s="2">
        <v>26</v>
      </c>
      <c r="G11" s="2">
        <v>95000</v>
      </c>
      <c r="H11" s="2">
        <v>5</v>
      </c>
      <c r="I11" s="2">
        <f>Table2[[#This Row],[Column5]]*12</f>
        <v>324000</v>
      </c>
      <c r="J11" s="2">
        <f>Table2[[#This Row],[Column6]]/28*100</f>
        <v>92.857142857142861</v>
      </c>
      <c r="K11" s="2">
        <f>MAX(Table2[Column5])</f>
        <v>32000</v>
      </c>
      <c r="L11" s="2">
        <f>MIN(Table2[Column5])</f>
        <v>21000</v>
      </c>
      <c r="M11" s="2">
        <f>SUM(Table2[Column5])</f>
        <v>254000</v>
      </c>
      <c r="N11" s="2">
        <f>SUM(Table2[Column7])</f>
        <v>411000</v>
      </c>
      <c r="O11" s="2">
        <f>MAX(Table2[Column7])</f>
        <v>95000</v>
      </c>
      <c r="P11" s="2"/>
      <c r="Q11" s="18"/>
    </row>
    <row r="12" spans="1:20" x14ac:dyDescent="0.3">
      <c r="A12" s="20" t="s">
        <v>17</v>
      </c>
      <c r="B12" s="11" t="s">
        <v>27</v>
      </c>
      <c r="C12" s="11" t="s">
        <v>28</v>
      </c>
      <c r="D12" s="21">
        <v>45481</v>
      </c>
      <c r="E12" s="11">
        <v>24000</v>
      </c>
      <c r="F12" s="11">
        <v>25</v>
      </c>
      <c r="G12" s="11">
        <v>0</v>
      </c>
      <c r="H12" s="11">
        <v>3</v>
      </c>
      <c r="I12" s="11">
        <f>Table2[[#This Row],[Column5]]*12</f>
        <v>288000</v>
      </c>
      <c r="J12" s="11">
        <f>Table2[[#This Row],[Column6]]/28*100</f>
        <v>89.285714285714292</v>
      </c>
      <c r="K12" s="11">
        <f>MAX(Table2[Column5])</f>
        <v>32000</v>
      </c>
      <c r="L12" s="11">
        <f>MIN(Table2[Column5])</f>
        <v>21000</v>
      </c>
      <c r="M12" s="11">
        <f>SUM(Table2[Column5])</f>
        <v>254000</v>
      </c>
      <c r="N12" s="11">
        <f>SUM(Table2[Column7])</f>
        <v>411000</v>
      </c>
      <c r="O12" s="11">
        <f>MAX(Table2[Column7])</f>
        <v>95000</v>
      </c>
      <c r="P12" s="11"/>
      <c r="Q12" s="22"/>
    </row>
    <row r="13" spans="1:20" x14ac:dyDescent="0.3">
      <c r="C13" s="1"/>
      <c r="J13" s="1"/>
    </row>
    <row r="19" spans="17:22" x14ac:dyDescent="0.3">
      <c r="Q19" t="s">
        <v>30</v>
      </c>
    </row>
    <row r="30" spans="17:22" x14ac:dyDescent="0.3">
      <c r="V30" t="s">
        <v>30</v>
      </c>
    </row>
  </sheetData>
  <phoneticPr fontId="2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Detail1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agrawal</dc:creator>
  <cp:lastModifiedBy>smita agrawal</cp:lastModifiedBy>
  <dcterms:created xsi:type="dcterms:W3CDTF">2026-09-18T13:50:28Z</dcterms:created>
  <dcterms:modified xsi:type="dcterms:W3CDTF">2026-09-20T15:43:24Z</dcterms:modified>
</cp:coreProperties>
</file>