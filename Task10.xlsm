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excel task\"/>
    </mc:Choice>
  </mc:AlternateContent>
  <xr:revisionPtr revIDLastSave="0" documentId="13_ncr:1_{ADD063A4-EC79-4D59-91E2-BAD4955B787A}" xr6:coauthVersionLast="47" xr6:coauthVersionMax="47" xr10:uidLastSave="{00000000-0000-0000-0000-000000000000}"/>
  <bookViews>
    <workbookView xWindow="-108" yWindow="-108" windowWidth="23256" windowHeight="12456" xr2:uid="{D0D74E48-1554-428A-A6D7-47D070398C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1" l="1"/>
  <c r="P3" i="1"/>
  <c r="P2" i="1"/>
  <c r="N2" i="1"/>
  <c r="N3" i="1"/>
  <c r="N4" i="1"/>
  <c r="N5" i="1"/>
  <c r="N6" i="1"/>
  <c r="M2" i="1"/>
  <c r="M3" i="1"/>
  <c r="M4" i="1"/>
  <c r="M5" i="1"/>
  <c r="M6" i="1"/>
  <c r="L2" i="1"/>
  <c r="L3" i="1"/>
  <c r="L4" i="1"/>
  <c r="L5" i="1"/>
  <c r="L6" i="1"/>
  <c r="K2" i="1"/>
  <c r="K3" i="1"/>
  <c r="K4" i="1"/>
  <c r="K5" i="1"/>
  <c r="K6" i="1"/>
  <c r="J2" i="1"/>
  <c r="O2" i="1" s="1"/>
  <c r="J3" i="1"/>
  <c r="O3" i="1" s="1"/>
  <c r="J4" i="1"/>
  <c r="O4" i="1" s="1"/>
  <c r="J5" i="1"/>
  <c r="O5" i="1" s="1"/>
  <c r="J6" i="1"/>
  <c r="O6" i="1" s="1"/>
</calcChain>
</file>

<file path=xl/sharedStrings.xml><?xml version="1.0" encoding="utf-8"?>
<sst xmlns="http://schemas.openxmlformats.org/spreadsheetml/2006/main" count="36" uniqueCount="30">
  <si>
    <t>Order_ID</t>
  </si>
  <si>
    <t>Customer_Name</t>
  </si>
  <si>
    <t>Product</t>
  </si>
  <si>
    <t>Department</t>
  </si>
  <si>
    <t>Quantity</t>
  </si>
  <si>
    <t>Price</t>
  </si>
  <si>
    <t>Sales</t>
  </si>
  <si>
    <t>Payment</t>
  </si>
  <si>
    <t>Order_Date</t>
  </si>
  <si>
    <t>Rahul Sharma</t>
  </si>
  <si>
    <t>Priya Varma</t>
  </si>
  <si>
    <t>Amit Jain</t>
  </si>
  <si>
    <t>Neha Sigh</t>
  </si>
  <si>
    <t>Rohit Patel</t>
  </si>
  <si>
    <t>Laptop</t>
  </si>
  <si>
    <t>Mouse</t>
  </si>
  <si>
    <t>Keyboard</t>
  </si>
  <si>
    <t>Notebook</t>
  </si>
  <si>
    <t>Pen</t>
  </si>
  <si>
    <t>Electronics</t>
  </si>
  <si>
    <t>UPI</t>
  </si>
  <si>
    <t>Cash</t>
  </si>
  <si>
    <t>Card</t>
  </si>
  <si>
    <t>Total Sales</t>
  </si>
  <si>
    <t>Average</t>
  </si>
  <si>
    <t>minimum_Sales</t>
  </si>
  <si>
    <t>maximum_Sales</t>
  </si>
  <si>
    <t>no.of sales</t>
  </si>
  <si>
    <t>percentage of sales</t>
  </si>
  <si>
    <t>Category_wise_payment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</si>
</sst>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14" fontId="0" fillId="0" borderId="8" xfId="0" applyNumberFormat="1" applyBorder="1"/>
    <xf numFmtId="0" fontId="0" fillId="0" borderId="9" xfId="0" applyBorder="1"/>
    <xf numFmtId="14" fontId="0" fillId="0" borderId="2" xfId="0" applyNumberFormat="1" applyBorder="1"/>
    <xf numFmtId="9" fontId="0" fillId="0" borderId="1" xfId="1" applyFont="1" applyBorder="1"/>
    <xf numFmtId="0" fontId="0" fillId="0" borderId="8" xfId="0" applyNumberFormat="1" applyBorder="1"/>
    <xf numFmtId="9" fontId="0" fillId="0" borderId="9" xfId="1" applyFont="1" applyBorder="1"/>
    <xf numFmtId="0" fontId="0" fillId="0" borderId="2" xfId="0" applyNumberFormat="1" applyBorder="1"/>
  </cellXfs>
  <cellStyles count="2">
    <cellStyle name="Normal" xfId="0" builtinId="0"/>
    <cellStyle name="Percent" xfId="1" builtinId="5"/>
  </cellStyles>
  <dxfs count="20">
    <dxf>
      <numFmt numFmtId="0" formatCode="General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numFmt numFmtId="13" formatCode="0%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numFmt numFmtId="19" formatCode="dd/mm/yyyy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FF7885-D79C-41D8-B2FA-B2FF95D4E1B0}" name="Table1" displayName="Table1" ref="A1:P6" totalsRowShown="0" headerRowDxfId="19" headerRowBorderDxfId="18" tableBorderDxfId="17" totalsRowBorderDxfId="16">
  <autoFilter ref="A1:P6" xr:uid="{93FF7885-D79C-41D8-B2FA-B2FF95D4E1B0}"/>
  <tableColumns count="16">
    <tableColumn id="1" xr3:uid="{4D64A9FE-F672-448E-BC62-9E1302D13E42}" name="Order_ID" dataDxfId="15"/>
    <tableColumn id="2" xr3:uid="{26CAE288-BD84-4E28-9168-724DA10D87BA}" name="Customer_Name" dataDxfId="14"/>
    <tableColumn id="3" xr3:uid="{9D0D6B17-27EB-4D12-B383-930E80B1547E}" name="Product" dataDxfId="13"/>
    <tableColumn id="4" xr3:uid="{B8FA94BE-8F2C-4854-A4AE-8F95B6425903}" name="Department" dataDxfId="12"/>
    <tableColumn id="5" xr3:uid="{4541BE36-AA7F-4170-8112-133DB28B30E7}" name="Quantity" dataDxfId="11"/>
    <tableColumn id="6" xr3:uid="{13E68069-3EDB-4326-B41C-D25476E40BFA}" name="Price" dataDxfId="10"/>
    <tableColumn id="7" xr3:uid="{5EA8E4A5-9A62-4B1D-8BA6-B94702B8E05E}" name="Sales" dataDxfId="9"/>
    <tableColumn id="8" xr3:uid="{2817A9DB-1A71-48E5-A8AA-F5C12006BFD4}" name="Payment" dataDxfId="8"/>
    <tableColumn id="9" xr3:uid="{8B036BCC-22F3-4175-8C41-2C31C595D895}" name="Order_Date" dataDxfId="7"/>
    <tableColumn id="10" xr3:uid="{9660B98D-A30D-4421-98B4-DEB6593B3AA7}" name="Total Sales" dataDxfId="6">
      <calculatedColumnFormula>SUM(Table1[Sales])</calculatedColumnFormula>
    </tableColumn>
    <tableColumn id="11" xr3:uid="{B9FBB81F-EFF2-4856-95FB-BF6E946AA1D2}" name="Average" dataDxfId="5">
      <calculatedColumnFormula>AVERAGE(Table1[Sales])</calculatedColumnFormula>
    </tableColumn>
    <tableColumn id="12" xr3:uid="{60BB013D-1EC9-42F6-869D-F8C0E5A5CA62}" name="minimum_Sales" dataDxfId="4">
      <calculatedColumnFormula>MIN(Table1[Sales])</calculatedColumnFormula>
    </tableColumn>
    <tableColumn id="14" xr3:uid="{0579FEC7-6794-47EC-B1C7-64260AC4D229}" name="maximum_Sales" dataDxfId="3">
      <calculatedColumnFormula>MAX(Table1[Sales])</calculatedColumnFormula>
    </tableColumn>
    <tableColumn id="15" xr3:uid="{0D567AC8-BD9F-47FF-944E-1654AA16C664}" name="no.of sales" dataDxfId="2">
      <calculatedColumnFormula>COUNT(Table1[Sales])</calculatedColumnFormula>
    </tableColumn>
    <tableColumn id="16" xr3:uid="{03940547-1B4F-4B41-B0FE-CA8B11B2C99B}" name="percentage of sales" dataDxfId="1" dataCellStyle="Percent">
      <calculatedColumnFormula>Table1[[#This Row],[Sales]]/Table1[[#This Row],[Total Sales]]</calculatedColumnFormula>
    </tableColumn>
    <tableColumn id="18" xr3:uid="{41C04D4C-1C18-4CC8-B954-B98D91AFD7F3}" name="Category_wise_payment" dataDxfId="0">
      <calculatedColumnFormula>COUNTIF(H:H,"UPI")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F5EA5-BE1A-43B3-9279-3B61BAD76D75}">
  <sheetPr codeName="Sheet1"/>
  <dimension ref="A1:P6"/>
  <sheetViews>
    <sheetView tabSelected="1" zoomScale="77" workbookViewId="0">
      <selection activeCell="Q22" sqref="Q22"/>
    </sheetView>
  </sheetViews>
  <sheetFormatPr defaultRowHeight="14.4" x14ac:dyDescent="0.3"/>
  <cols>
    <col min="1" max="1" width="10.5546875" bestFit="1" customWidth="1"/>
    <col min="2" max="2" width="17.21875" bestFit="1" customWidth="1"/>
    <col min="3" max="3" width="9.77734375" bestFit="1" customWidth="1"/>
    <col min="4" max="4" width="13.21875" bestFit="1" customWidth="1"/>
    <col min="5" max="5" width="10.33203125" bestFit="1" customWidth="1"/>
    <col min="6" max="6" width="7.5546875" bestFit="1" customWidth="1"/>
    <col min="7" max="7" width="7.77734375" bestFit="1" customWidth="1"/>
    <col min="8" max="8" width="10.5546875" bestFit="1" customWidth="1"/>
    <col min="9" max="9" width="12.6640625" bestFit="1" customWidth="1"/>
    <col min="10" max="10" width="12.21875" bestFit="1" customWidth="1"/>
    <col min="11" max="11" width="9.77734375" bestFit="1" customWidth="1"/>
    <col min="12" max="12" width="16.77734375" bestFit="1" customWidth="1"/>
    <col min="13" max="13" width="17.109375" bestFit="1" customWidth="1"/>
    <col min="14" max="14" width="12" bestFit="1" customWidth="1"/>
    <col min="15" max="15" width="19.21875" bestFit="1" customWidth="1"/>
  </cols>
  <sheetData>
    <row r="1" spans="1:16" ht="15" thickBot="1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2" t="s">
        <v>8</v>
      </c>
      <c r="J1" s="4" t="s">
        <v>23</v>
      </c>
      <c r="K1" s="4" t="s">
        <v>24</v>
      </c>
      <c r="L1" s="4" t="s">
        <v>25</v>
      </c>
      <c r="M1" s="4" t="s">
        <v>26</v>
      </c>
      <c r="N1" s="4" t="s">
        <v>27</v>
      </c>
      <c r="O1" s="4" t="s">
        <v>28</v>
      </c>
      <c r="P1" s="4" t="s">
        <v>29</v>
      </c>
    </row>
    <row r="2" spans="1:16" ht="15" thickBot="1" x14ac:dyDescent="0.35">
      <c r="A2" s="5">
        <v>1001</v>
      </c>
      <c r="B2" s="6" t="s">
        <v>9</v>
      </c>
      <c r="C2" s="6" t="s">
        <v>14</v>
      </c>
      <c r="D2" s="6" t="s">
        <v>19</v>
      </c>
      <c r="E2" s="6">
        <v>1</v>
      </c>
      <c r="F2" s="6">
        <v>45000</v>
      </c>
      <c r="G2" s="6">
        <v>45000</v>
      </c>
      <c r="H2" s="6" t="s">
        <v>20</v>
      </c>
      <c r="I2" s="7">
        <v>46266</v>
      </c>
      <c r="J2" s="4">
        <f>SUM(Table1[Sales])</f>
        <v>48800</v>
      </c>
      <c r="K2" s="4">
        <f>AVERAGE(Table1[Sales])</f>
        <v>9760</v>
      </c>
      <c r="L2" s="6">
        <f>MIN(Table1[Sales])</f>
        <v>200</v>
      </c>
      <c r="M2" s="6">
        <f>MAX(Table1[Sales])</f>
        <v>45000</v>
      </c>
      <c r="N2" s="6">
        <f>COUNT(Table1[Sales])</f>
        <v>5</v>
      </c>
      <c r="O2" s="10">
        <f>Table1[[#This Row],[Sales]]/Table1[[#This Row],[Total Sales]]</f>
        <v>0.92213114754098358</v>
      </c>
      <c r="P2" s="11">
        <f t="shared" ref="P2:P6" si="0">COUNTIF(H:H,"UPI")</f>
        <v>2</v>
      </c>
    </row>
    <row r="3" spans="1:16" ht="15" thickBot="1" x14ac:dyDescent="0.35">
      <c r="A3" s="5">
        <v>1002</v>
      </c>
      <c r="B3" s="6" t="s">
        <v>10</v>
      </c>
      <c r="C3" s="6" t="s">
        <v>15</v>
      </c>
      <c r="D3" s="6" t="s">
        <v>19</v>
      </c>
      <c r="E3" s="6">
        <v>2</v>
      </c>
      <c r="F3" s="6">
        <v>800</v>
      </c>
      <c r="G3" s="6">
        <v>1600</v>
      </c>
      <c r="H3" s="6" t="s">
        <v>21</v>
      </c>
      <c r="I3" s="7">
        <v>46267</v>
      </c>
      <c r="J3" s="6">
        <f>SUM(Table1[Sales])</f>
        <v>48800</v>
      </c>
      <c r="K3" s="6">
        <f>AVERAGE(Table1[Sales])</f>
        <v>9760</v>
      </c>
      <c r="L3" s="6">
        <f>MIN(Table1[Sales])</f>
        <v>200</v>
      </c>
      <c r="M3" s="6">
        <f>MAX(Table1[Sales])</f>
        <v>45000</v>
      </c>
      <c r="N3" s="6">
        <f>COUNT(Table1[Sales])</f>
        <v>5</v>
      </c>
      <c r="O3" s="10">
        <f>Table1[[#This Row],[Sales]]/Table1[[#This Row],[Total Sales]]</f>
        <v>3.2786885245901641E-2</v>
      </c>
      <c r="P3" s="11">
        <f>COUNTIF(H:H,"CASH")</f>
        <v>2</v>
      </c>
    </row>
    <row r="4" spans="1:16" ht="15" thickBot="1" x14ac:dyDescent="0.35">
      <c r="A4" s="5">
        <v>1003</v>
      </c>
      <c r="B4" s="6" t="s">
        <v>11</v>
      </c>
      <c r="C4" s="6" t="s">
        <v>16</v>
      </c>
      <c r="D4" s="6" t="s">
        <v>19</v>
      </c>
      <c r="E4" s="6">
        <v>1</v>
      </c>
      <c r="F4" s="6">
        <v>1500</v>
      </c>
      <c r="G4" s="6">
        <v>1500</v>
      </c>
      <c r="H4" s="6" t="s">
        <v>22</v>
      </c>
      <c r="I4" s="7">
        <v>46268</v>
      </c>
      <c r="J4" s="6">
        <f>SUM(Table1[Sales])</f>
        <v>48800</v>
      </c>
      <c r="K4" s="6">
        <f>AVERAGE(Table1[Sales])</f>
        <v>9760</v>
      </c>
      <c r="L4" s="6">
        <f>MIN(Table1[Sales])</f>
        <v>200</v>
      </c>
      <c r="M4" s="6">
        <f>MAX(Table1[Sales])</f>
        <v>45000</v>
      </c>
      <c r="N4" s="6">
        <f>COUNT(Table1[Sales])</f>
        <v>5</v>
      </c>
      <c r="O4" s="10">
        <f>Table1[[#This Row],[Sales]]/Table1[[#This Row],[Total Sales]]</f>
        <v>3.0737704918032786E-2</v>
      </c>
      <c r="P4" s="11">
        <f>COUNTIF(H:H,"card")</f>
        <v>1</v>
      </c>
    </row>
    <row r="5" spans="1:16" ht="15" thickBot="1" x14ac:dyDescent="0.35">
      <c r="A5" s="5">
        <v>1004</v>
      </c>
      <c r="B5" s="6" t="s">
        <v>12</v>
      </c>
      <c r="C5" s="6" t="s">
        <v>17</v>
      </c>
      <c r="D5" s="6" t="s">
        <v>19</v>
      </c>
      <c r="E5" s="6">
        <v>5</v>
      </c>
      <c r="F5" s="6">
        <v>100</v>
      </c>
      <c r="G5" s="6">
        <v>500</v>
      </c>
      <c r="H5" s="6" t="s">
        <v>20</v>
      </c>
      <c r="I5" s="7">
        <v>46269</v>
      </c>
      <c r="J5" s="6">
        <f>SUM(Table1[Sales])</f>
        <v>48800</v>
      </c>
      <c r="K5" s="6">
        <f>AVERAGE(Table1[Sales])</f>
        <v>9760</v>
      </c>
      <c r="L5" s="6">
        <f>MIN(Table1[Sales])</f>
        <v>200</v>
      </c>
      <c r="M5" s="6">
        <f>MAX(Table1[Sales])</f>
        <v>45000</v>
      </c>
      <c r="N5" s="6">
        <f>COUNT(Table1[Sales])</f>
        <v>5</v>
      </c>
      <c r="O5" s="10">
        <f>Table1[[#This Row],[Sales]]/Table1[[#This Row],[Total Sales]]</f>
        <v>1.0245901639344262E-2</v>
      </c>
      <c r="P5" s="11"/>
    </row>
    <row r="6" spans="1:16" x14ac:dyDescent="0.3">
      <c r="A6" s="1">
        <v>1005</v>
      </c>
      <c r="B6" s="8" t="s">
        <v>13</v>
      </c>
      <c r="C6" s="8" t="s">
        <v>18</v>
      </c>
      <c r="D6" s="8" t="s">
        <v>19</v>
      </c>
      <c r="E6" s="8">
        <v>10</v>
      </c>
      <c r="F6" s="8">
        <v>20</v>
      </c>
      <c r="G6" s="8">
        <v>200</v>
      </c>
      <c r="H6" s="8" t="s">
        <v>21</v>
      </c>
      <c r="I6" s="9">
        <v>46270</v>
      </c>
      <c r="J6" s="8">
        <f>SUM(Table1[Sales])</f>
        <v>48800</v>
      </c>
      <c r="K6" s="8">
        <f>AVERAGE(Table1[Sales])</f>
        <v>9760</v>
      </c>
      <c r="L6" s="8">
        <f>MIN(Table1[Sales])</f>
        <v>200</v>
      </c>
      <c r="M6" s="8">
        <f>MAX(Table1[Sales])</f>
        <v>45000</v>
      </c>
      <c r="N6" s="8">
        <f>COUNT(Table1[Sales])</f>
        <v>5</v>
      </c>
      <c r="O6" s="12">
        <f>Table1[[#This Row],[Sales]]/Table1[[#This Row],[Total Sales]]</f>
        <v>4.0983606557377051E-3</v>
      </c>
      <c r="P6" s="1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smita agrawal</dc:creator>
  <cp:lastModifiedBy>smita agrawal</cp:lastModifiedBy>
  <dcterms:created xsi:type="dcterms:W3CDTF">2026-10-03T15:07:19Z</dcterms:created>
  <dcterms:modified xsi:type="dcterms:W3CDTF">2026-10-03T16:03:37Z</dcterms:modified>
</cp:coreProperties>
</file>